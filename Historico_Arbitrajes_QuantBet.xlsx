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ashboard &amp; Resumen" sheetId="1" state="visible" r:id="rId3"/>
    <sheet name="Histórico de Arbitrajes" sheetId="2" state="visible" r:id="rId4"/>
    <sheet name="Saldos en Casa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<sst xmlns="http://schemas.openxmlformats.org/spreadsheetml/2006/main" count="118" uniqueCount="80">
  <si>
    <t xml:space="preserve">DASHBOARD GENERAL DE RENDIMIENTO Y ARBITRAJE</t>
  </si>
  <si>
    <t xml:space="preserve">INVERSIÓN TOTAL ACUMULADA</t>
  </si>
  <si>
    <t xml:space="preserve">GANANCIA NETA TOTAL</t>
  </si>
  <si>
    <t xml:space="preserve">ROI PROMEDIO GLOBAL</t>
  </si>
  <si>
    <t xml:space="preserve">TOTAL OPERACIONES</t>
  </si>
  <si>
    <t xml:space="preserve">GUÍA RÁPIDA DE USO:
1. Registra cada apuesta en la pestaña 'Histórico de Arbitrajes'.
2. Las columnas 'Inversión Total', '% Arbitraje', 'Retorno' y 'Ganancia Neta' se calculan AUTOMÁTICAMENTE.
3. En la pestaña 'Saldos en Casas', actualiza periódicamente tus balances para tener visibilidad de tu capital.
4. Mantén la misma divisa base (USD recomendado) en todos los registros para garantizar la precisión del ROI.</t>
  </si>
  <si>
    <t xml:space="preserve">HISTORIAL DE OPERACIONES DE ARBITRAJE (SUREBETS)</t>
  </si>
  <si>
    <t xml:space="preserve">ID</t>
  </si>
  <si>
    <t xml:space="preserve">Fecha y Hora</t>
  </si>
  <si>
    <t xml:space="preserve">Deporte</t>
  </si>
  <si>
    <t xml:space="preserve">Liga</t>
  </si>
  <si>
    <t xml:space="preserve">Evento / Partido</t>
  </si>
  <si>
    <t xml:space="preserve">Mercado</t>
  </si>
  <si>
    <t xml:space="preserve">Casa A</t>
  </si>
  <si>
    <t xml:space="preserve">Selección A</t>
  </si>
  <si>
    <t xml:space="preserve">Cuota A</t>
  </si>
  <si>
    <t xml:space="preserve">Monto A ($)</t>
  </si>
  <si>
    <t xml:space="preserve">Casa B</t>
  </si>
  <si>
    <t xml:space="preserve">Selección B</t>
  </si>
  <si>
    <t xml:space="preserve">Cuota B</t>
  </si>
  <si>
    <t xml:space="preserve">Monto B ($)</t>
  </si>
  <si>
    <t xml:space="preserve">Casa C</t>
  </si>
  <si>
    <t xml:space="preserve">Selección C</t>
  </si>
  <si>
    <t xml:space="preserve">Cuota C</t>
  </si>
  <si>
    <t xml:space="preserve">Monto C ($)</t>
  </si>
  <si>
    <t xml:space="preserve">Inversión Total ($)</t>
  </si>
  <si>
    <t xml:space="preserve">% Arbitraje</t>
  </si>
  <si>
    <t xml:space="preserve">Retorno Esperado ($)</t>
  </si>
  <si>
    <t xml:space="preserve">Ganancia Neta ($)</t>
  </si>
  <si>
    <t xml:space="preserve">Resultado</t>
  </si>
  <si>
    <t xml:space="preserve">Notas / Estado</t>
  </si>
  <si>
    <t xml:space="preserve">Fútbol</t>
  </si>
  <si>
    <t xml:space="preserve">MLS</t>
  </si>
  <si>
    <t xml:space="preserve">Real Salt Lake - Minnesota Utd </t>
  </si>
  <si>
    <t xml:space="preserve">1X2</t>
  </si>
  <si>
    <t xml:space="preserve">Pinnacle</t>
  </si>
  <si>
    <t xml:space="preserve">Minnesota United Fc</t>
  </si>
  <si>
    <t xml:space="preserve">Betfair</t>
  </si>
  <si>
    <t xml:space="preserve">Real Salt Lake</t>
  </si>
  <si>
    <t xml:space="preserve">1xBet</t>
  </si>
  <si>
    <t xml:space="preserve">Draw</t>
  </si>
  <si>
    <t xml:space="preserve">Draw – Casa C</t>
  </si>
  <si>
    <t xml:space="preserve">Ejecutado sin problemas</t>
  </si>
  <si>
    <t xml:space="preserve">EFL Championship </t>
  </si>
  <si>
    <t xml:space="preserve">Derby County vs Cardiff City</t>
  </si>
  <si>
    <t xml:space="preserve">Derby County</t>
  </si>
  <si>
    <t xml:space="preserve">Cardiff City</t>
  </si>
  <si>
    <t xml:space="preserve">Pendiente</t>
  </si>
  <si>
    <t xml:space="preserve">Verificar 22 Agosto</t>
  </si>
  <si>
    <t xml:space="preserve">CF Montréal vs D.C. United</t>
  </si>
  <si>
    <t xml:space="preserve">CF Montreal</t>
  </si>
  <si>
    <t xml:space="preserve">DC United</t>
  </si>
  <si>
    <t xml:space="preserve">La Liga</t>
  </si>
  <si>
    <t xml:space="preserve">RCD Espanyol vs Real Madrid</t>
  </si>
  <si>
    <t xml:space="preserve">RCD Espanyol</t>
  </si>
  <si>
    <t xml:space="preserve">Real Madrid</t>
  </si>
  <si>
    <t xml:space="preserve">Arsenal vs Chelsea</t>
  </si>
  <si>
    <t xml:space="preserve">Hándicap Asiático (-0.5 / +0.5)</t>
  </si>
  <si>
    <t xml:space="preserve">Arsenal -0.5</t>
  </si>
  <si>
    <t xml:space="preserve">Chelsea +0.5</t>
  </si>
  <si>
    <t xml:space="preserve">Excelente margen latente</t>
  </si>
  <si>
    <t xml:space="preserve">CONTROL DE BALANCES Y SALDOS EN PLATAFORMAS</t>
  </si>
  <si>
    <t xml:space="preserve">Plataforma / Casa</t>
  </si>
  <si>
    <t xml:space="preserve">Tipo</t>
  </si>
  <si>
    <t xml:space="preserve">Moneda</t>
  </si>
  <si>
    <t xml:space="preserve">Saldo Actual ($)</t>
  </si>
  <si>
    <t xml:space="preserve">Notas</t>
  </si>
  <si>
    <t xml:space="preserve">Casa Exchange</t>
  </si>
  <si>
    <t xml:space="preserve">USD</t>
  </si>
  <si>
    <t xml:space="preserve">Cuenta verificada</t>
  </si>
  <si>
    <t xml:space="preserve">Casa Tradicional</t>
  </si>
  <si>
    <t xml:space="preserve">Operativa</t>
  </si>
  <si>
    <t xml:space="preserve">MarathonBet</t>
  </si>
  <si>
    <t xml:space="preserve">Casa </t>
  </si>
  <si>
    <t xml:space="preserve">Saldo Gambling</t>
  </si>
  <si>
    <t xml:space="preserve">Betonline</t>
  </si>
  <si>
    <t xml:space="preserve">Neteller</t>
  </si>
  <si>
    <t xml:space="preserve">Billetera Virtual</t>
  </si>
  <si>
    <t xml:space="preserve">Fondo P2P reserva</t>
  </si>
  <si>
    <t xml:space="preserve">BANCA TOTAL:</t>
  </si>
</sst>
</file>

<file path=xl/styles.xml><?xml version="1.0" encoding="utf-8"?>
<styleSheet xmlns="http://schemas.openxmlformats.org/spreadsheetml/2006/main">
  <numFmts count="8">
    <numFmt numFmtId="164" formatCode="General"/>
    <numFmt numFmtId="165" formatCode="\$#,##0.00"/>
    <numFmt numFmtId="166" formatCode="0.00%"/>
    <numFmt numFmtId="167" formatCode="#,##0"/>
    <numFmt numFmtId="168" formatCode="#,##0.00"/>
    <numFmt numFmtId="169" formatCode="dd/mm/yyyy\ hh:mm"/>
    <numFmt numFmtId="170" formatCode="0.00"/>
    <numFmt numFmtId="171" formatCode="0.00\%"/>
  </numFmts>
  <fonts count="11">
    <font>
      <sz val="11"/>
      <color theme="1"/>
      <name val="Calibri"/>
      <family val="2"/>
      <charset val="1"/>
    </font>
    <font>
      <sz val="10"/>
      <name val="Arial"/>
      <family val="0"/>
    </font>
    <font>
      <sz val="10"/>
      <name val="Arial"/>
      <family val="0"/>
    </font>
    <font>
      <sz val="10"/>
      <name val="Arial"/>
      <family val="0"/>
    </font>
    <font>
      <b val="true"/>
      <sz val="15"/>
      <color rgb="FFFFFFFF"/>
      <name val="Calibri"/>
      <family val="0"/>
      <charset val="1"/>
    </font>
    <font>
      <b val="true"/>
      <sz val="9"/>
      <color rgb="FF64748B"/>
      <name val="Calibri"/>
      <family val="0"/>
      <charset val="1"/>
    </font>
    <font>
      <b val="true"/>
      <sz val="18"/>
      <color rgb="FF1E3A8A"/>
      <name val="Calibri"/>
      <family val="0"/>
      <charset val="1"/>
    </font>
    <font>
      <sz val="11"/>
      <name val="Calibri"/>
      <family val="0"/>
      <charset val="1"/>
    </font>
    <font>
      <b val="true"/>
      <sz val="11"/>
      <color rgb="FFFFFFFF"/>
      <name val="Calibri"/>
      <family val="0"/>
      <charset val="1"/>
    </font>
    <font>
      <b val="true"/>
      <sz val="11"/>
      <name val="Calibri"/>
      <family val="0"/>
      <charset val="1"/>
    </font>
    <font>
      <sz val="10"/>
      <name val="Times New Roman"/>
      <family val="1"/>
      <charset val="1"/>
    </font>
  </fonts>
  <fills count="13">
    <fill>
      <patternFill patternType="none"/>
    </fill>
    <fill>
      <patternFill patternType="gray125"/>
    </fill>
    <fill>
      <patternFill patternType="solid">
        <fgColor rgb="FF1E3A8A"/>
        <bgColor rgb="FF003366"/>
      </patternFill>
    </fill>
    <fill>
      <patternFill patternType="solid">
        <fgColor rgb="FFF1F5F9"/>
        <bgColor rgb="FFF8FAFC"/>
      </patternFill>
    </fill>
    <fill>
      <patternFill patternType="solid">
        <fgColor rgb="FFF8FAFC"/>
        <bgColor rgb="FFFFFFFF"/>
      </patternFill>
    </fill>
    <fill>
      <patternFill patternType="solid">
        <fgColor rgb="FF0F172A"/>
        <bgColor rgb="FF1E293B"/>
      </patternFill>
    </fill>
    <fill>
      <patternFill patternType="solid">
        <fgColor rgb="FFFFFFFF"/>
        <bgColor rgb="FFF8FAFC"/>
      </patternFill>
    </fill>
    <fill>
      <patternFill patternType="solid">
        <fgColor rgb="FFFFE994"/>
        <bgColor rgb="FFFFFFA6"/>
      </patternFill>
    </fill>
    <fill>
      <patternFill patternType="solid">
        <fgColor rgb="FFFFFF6D"/>
        <bgColor rgb="FFFFFFA6"/>
      </patternFill>
    </fill>
    <fill>
      <patternFill patternType="solid">
        <fgColor rgb="FFB4C7DC"/>
        <bgColor rgb="FFCBD5E1"/>
      </patternFill>
    </fill>
    <fill>
      <patternFill patternType="solid">
        <fgColor rgb="FFFFFFA6"/>
        <bgColor rgb="FFFFE994"/>
      </patternFill>
    </fill>
    <fill>
      <patternFill patternType="solid">
        <fgColor rgb="FFFFB66C"/>
        <bgColor rgb="FFFFCC00"/>
      </patternFill>
    </fill>
    <fill>
      <patternFill patternType="solid">
        <fgColor rgb="FF1E293B"/>
        <bgColor rgb="FF0F172A"/>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left" vertical="center" textRotation="0" wrapText="false" indent="1" shrinkToFit="false"/>
      <protection locked="true" hidden="false"/>
    </xf>
    <xf numFmtId="164" fontId="5" fillId="3" borderId="1" xfId="0" applyFont="true" applyBorder="true" applyAlignment="true" applyProtection="true">
      <alignment horizontal="center" vertical="center" textRotation="0" wrapText="false" indent="0" shrinkToFit="false"/>
      <protection locked="true" hidden="false"/>
    </xf>
    <xf numFmtId="165" fontId="6" fillId="3" borderId="1" xfId="0" applyFont="true" applyBorder="true" applyAlignment="true" applyProtection="true">
      <alignment horizontal="center" vertical="center" textRotation="0" wrapText="false" indent="0" shrinkToFit="false"/>
      <protection locked="true" hidden="false"/>
    </xf>
    <xf numFmtId="166" fontId="6" fillId="3" borderId="1" xfId="0" applyFont="true" applyBorder="true" applyAlignment="true" applyProtection="true">
      <alignment horizontal="center" vertical="center" textRotation="0" wrapText="false" indent="0" shrinkToFit="false"/>
      <protection locked="true" hidden="false"/>
    </xf>
    <xf numFmtId="167" fontId="6" fillId="3" borderId="1" xfId="0" applyFont="true" applyBorder="true" applyAlignment="true" applyProtection="true">
      <alignment horizontal="center" vertical="center" textRotation="0" wrapText="false" indent="0" shrinkToFit="false"/>
      <protection locked="true" hidden="false"/>
    </xf>
    <xf numFmtId="164" fontId="7" fillId="4" borderId="1" xfId="0" applyFont="true" applyBorder="true" applyAlignment="true" applyProtection="true">
      <alignment horizontal="left" vertical="top" textRotation="0" wrapText="tru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4" fontId="8" fillId="5" borderId="1" xfId="0" applyFont="true" applyBorder="true" applyAlignment="true" applyProtection="true">
      <alignment horizontal="center" vertical="center" textRotation="0" wrapText="true" indent="0" shrinkToFit="false"/>
      <protection locked="true" hidden="false"/>
    </xf>
    <xf numFmtId="168" fontId="8" fillId="5" borderId="1" xfId="0" applyFont="true" applyBorder="true" applyAlignment="true" applyProtection="true">
      <alignment horizontal="center" vertical="center" textRotation="0" wrapText="true" indent="0" shrinkToFit="false"/>
      <protection locked="true" hidden="false"/>
    </xf>
    <xf numFmtId="164" fontId="7" fillId="6" borderId="1" xfId="0" applyFont="true" applyBorder="true" applyAlignment="true" applyProtection="true">
      <alignment horizontal="center" vertical="bottom" textRotation="0" wrapText="false" indent="0" shrinkToFit="false"/>
      <protection locked="true" hidden="false"/>
    </xf>
    <xf numFmtId="169" fontId="7" fillId="6" borderId="1" xfId="0" applyFont="true" applyBorder="true" applyAlignment="true" applyProtection="true">
      <alignment horizontal="center" vertical="bottom" textRotation="0" wrapText="false" indent="0" shrinkToFit="false"/>
      <protection locked="true" hidden="false"/>
    </xf>
    <xf numFmtId="164" fontId="7" fillId="6" borderId="1" xfId="0" applyFont="true" applyBorder="tru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7" borderId="1" xfId="0" applyFont="true" applyBorder="true" applyAlignment="true" applyProtection="true">
      <alignment horizontal="center" vertical="bottom" textRotation="0" wrapText="false" indent="0" shrinkToFit="false"/>
      <protection locked="true" hidden="false"/>
    </xf>
    <xf numFmtId="164" fontId="7" fillId="7" borderId="1" xfId="0" applyFont="true" applyBorder="true" applyAlignment="true" applyProtection="true">
      <alignment horizontal="left" vertical="bottom" textRotation="0" wrapText="false" indent="0" shrinkToFit="false"/>
      <protection locked="true" hidden="false"/>
    </xf>
    <xf numFmtId="170" fontId="7" fillId="7" borderId="1" xfId="0" applyFont="true" applyBorder="true" applyAlignment="true" applyProtection="true">
      <alignment horizontal="right" vertical="bottom" textRotation="0" wrapText="false" indent="0" shrinkToFit="false"/>
      <protection locked="true" hidden="false"/>
    </xf>
    <xf numFmtId="165" fontId="7" fillId="7" borderId="1" xfId="0" applyFont="true" applyBorder="true" applyAlignment="true" applyProtection="true">
      <alignment horizontal="general" vertical="bottom" textRotation="0" wrapText="false" indent="0" shrinkToFit="false"/>
      <protection locked="true" hidden="false"/>
    </xf>
    <xf numFmtId="164" fontId="7" fillId="8" borderId="1" xfId="0" applyFont="true" applyBorder="true" applyAlignment="true" applyProtection="true">
      <alignment horizontal="center" vertical="bottom" textRotation="0" wrapText="false" indent="0" shrinkToFit="false"/>
      <protection locked="true" hidden="false"/>
    </xf>
    <xf numFmtId="164" fontId="7" fillId="8" borderId="1" xfId="0" applyFont="true" applyBorder="true" applyAlignment="true" applyProtection="true">
      <alignment horizontal="left" vertical="bottom" textRotation="0" wrapText="false" indent="0" shrinkToFit="false"/>
      <protection locked="true" hidden="false"/>
    </xf>
    <xf numFmtId="170" fontId="7" fillId="8" borderId="1" xfId="0" applyFont="true" applyBorder="true" applyAlignment="true" applyProtection="true">
      <alignment horizontal="right" vertical="bottom" textRotation="0" wrapText="false" indent="0" shrinkToFit="false"/>
      <protection locked="true" hidden="false"/>
    </xf>
    <xf numFmtId="165" fontId="7" fillId="8" borderId="1" xfId="0" applyFont="true" applyBorder="true" applyAlignment="true" applyProtection="true">
      <alignment horizontal="general" vertical="bottom" textRotation="0" wrapText="false" indent="0" shrinkToFit="false"/>
      <protection locked="true" hidden="false"/>
    </xf>
    <xf numFmtId="165" fontId="7" fillId="9" borderId="1" xfId="0" applyFont="true" applyBorder="true" applyAlignment="true" applyProtection="true">
      <alignment horizontal="general" vertical="bottom" textRotation="0" wrapText="false" indent="0" shrinkToFit="false"/>
      <protection locked="true" hidden="false"/>
    </xf>
    <xf numFmtId="168" fontId="7" fillId="9" borderId="1" xfId="0" applyFont="true" applyBorder="true" applyAlignment="true" applyProtection="true">
      <alignment horizontal="general" vertical="bottom" textRotation="0" wrapText="false" indent="0" shrinkToFit="false"/>
      <protection locked="true" hidden="false"/>
    </xf>
    <xf numFmtId="165" fontId="7" fillId="6" borderId="1" xfId="0" applyFont="true" applyBorder="true" applyAlignment="true" applyProtection="true">
      <alignment horizontal="general" vertical="bottom" textRotation="0" wrapText="false" indent="0" shrinkToFit="false"/>
      <protection locked="true" hidden="false"/>
    </xf>
    <xf numFmtId="171" fontId="9" fillId="6" borderId="1" xfId="0" applyFont="true" applyBorder="true" applyAlignment="true" applyProtection="true">
      <alignment horizontal="general" vertical="bottom" textRotation="0" wrapText="false" indent="0" shrinkToFit="false"/>
      <protection locked="true" hidden="false"/>
    </xf>
    <xf numFmtId="165" fontId="9" fillId="6" borderId="1" xfId="0" applyFont="true" applyBorder="true" applyAlignment="true" applyProtection="true">
      <alignment horizontal="general" vertical="bottom" textRotation="0" wrapText="false" indent="0" shrinkToFit="false"/>
      <protection locked="true" hidden="false"/>
    </xf>
    <xf numFmtId="164" fontId="7" fillId="4" borderId="1" xfId="0" applyFont="true" applyBorder="true" applyAlignment="true" applyProtection="true">
      <alignment horizontal="center" vertical="bottom" textRotation="0" wrapText="false" indent="0" shrinkToFit="false"/>
      <protection locked="true" hidden="false"/>
    </xf>
    <xf numFmtId="164" fontId="7" fillId="4" borderId="1" xfId="0" applyFont="true" applyBorder="true" applyAlignment="true" applyProtection="true">
      <alignment horizontal="left" vertical="bottom" textRotation="0" wrapText="false" indent="0" shrinkToFit="false"/>
      <protection locked="true" hidden="false"/>
    </xf>
    <xf numFmtId="164" fontId="10" fillId="4" borderId="1" xfId="0" applyFont="true" applyBorder="true" applyAlignment="true" applyProtection="true">
      <alignment horizontal="left" vertical="bottom" textRotation="0" wrapText="false" indent="0" shrinkToFit="false"/>
      <protection locked="true" hidden="false"/>
    </xf>
    <xf numFmtId="164" fontId="7" fillId="9" borderId="1" xfId="0" applyFont="true" applyBorder="true" applyAlignment="true" applyProtection="true">
      <alignment horizontal="center" vertical="bottom" textRotation="0" wrapText="false" indent="0" shrinkToFit="false"/>
      <protection locked="true" hidden="false"/>
    </xf>
    <xf numFmtId="164" fontId="7" fillId="9" borderId="1" xfId="0" applyFont="true" applyBorder="true" applyAlignment="true" applyProtection="true">
      <alignment horizontal="left" vertical="bottom" textRotation="0" wrapText="false" indent="0" shrinkToFit="false"/>
      <protection locked="true" hidden="false"/>
    </xf>
    <xf numFmtId="170" fontId="7" fillId="9" borderId="1" xfId="0" applyFont="true" applyBorder="true" applyAlignment="true" applyProtection="true">
      <alignment horizontal="right" vertical="bottom" textRotation="0" wrapText="false" indent="0" shrinkToFit="false"/>
      <protection locked="true" hidden="false"/>
    </xf>
    <xf numFmtId="165" fontId="7" fillId="4" borderId="1" xfId="0" applyFont="true" applyBorder="true" applyAlignment="true" applyProtection="true">
      <alignment horizontal="general" vertical="bottom" textRotation="0" wrapText="false" indent="0" shrinkToFit="false"/>
      <protection locked="true" hidden="false"/>
    </xf>
    <xf numFmtId="165" fontId="9" fillId="4" borderId="1" xfId="0" applyFont="true" applyBorder="true" applyAlignment="true" applyProtection="true">
      <alignment horizontal="general" vertical="bottom" textRotation="0" wrapText="false" indent="0" shrinkToFit="false"/>
      <protection locked="true" hidden="false"/>
    </xf>
    <xf numFmtId="170" fontId="7" fillId="6" borderId="1" xfId="0" applyFont="true" applyBorder="true" applyAlignment="true" applyProtection="true">
      <alignment horizontal="right" vertical="bottom" textRotation="0" wrapText="false" indent="0" shrinkToFit="false"/>
      <protection locked="true" hidden="false"/>
    </xf>
    <xf numFmtId="168" fontId="7" fillId="6" borderId="1" xfId="0" applyFont="true" applyBorder="true" applyAlignment="true" applyProtection="true">
      <alignment horizontal="general" vertical="bottom" textRotation="0" wrapText="false" indent="0" shrinkToFit="false"/>
      <protection locked="true" hidden="false"/>
    </xf>
    <xf numFmtId="164" fontId="8" fillId="5" borderId="1" xfId="0" applyFont="true" applyBorder="true" applyAlignment="true" applyProtection="true">
      <alignment horizontal="center" vertical="center" textRotation="0" wrapText="false" indent="0" shrinkToFit="false"/>
      <protection locked="true" hidden="false"/>
    </xf>
    <xf numFmtId="164" fontId="7" fillId="10" borderId="1" xfId="0" applyFont="true" applyBorder="true" applyAlignment="true" applyProtection="true">
      <alignment horizontal="center" vertical="bottom" textRotation="0" wrapText="false" indent="0" shrinkToFit="false"/>
      <protection locked="true" hidden="false"/>
    </xf>
    <xf numFmtId="165" fontId="9" fillId="10" borderId="1" xfId="0" applyFont="true" applyBorder="true" applyAlignment="true" applyProtection="true">
      <alignment horizontal="right" vertical="bottom" textRotation="0" wrapText="false" indent="0" shrinkToFit="false"/>
      <protection locked="true" hidden="false"/>
    </xf>
    <xf numFmtId="164" fontId="7" fillId="10" borderId="1" xfId="0" applyFont="true" applyBorder="true" applyAlignment="true" applyProtection="true">
      <alignment horizontal="left" vertical="bottom" textRotation="0" wrapText="false" indent="0" shrinkToFit="false"/>
      <protection locked="true" hidden="false"/>
    </xf>
    <xf numFmtId="164" fontId="7" fillId="11" borderId="1" xfId="0" applyFont="true" applyBorder="true" applyAlignment="true" applyProtection="true">
      <alignment horizontal="left" vertical="bottom" textRotation="0" wrapText="false" indent="0" shrinkToFit="false"/>
      <protection locked="true" hidden="false"/>
    </xf>
    <xf numFmtId="164" fontId="7" fillId="11" borderId="1" xfId="0" applyFont="true" applyBorder="true" applyAlignment="true" applyProtection="true">
      <alignment horizontal="center" vertical="bottom" textRotation="0" wrapText="false" indent="0" shrinkToFit="false"/>
      <protection locked="true" hidden="false"/>
    </xf>
    <xf numFmtId="165" fontId="9" fillId="11" borderId="1" xfId="0" applyFont="true" applyBorder="true" applyAlignment="true" applyProtection="true">
      <alignment horizontal="right" vertical="bottom" textRotation="0" wrapText="false" indent="0" shrinkToFit="false"/>
      <protection locked="true" hidden="false"/>
    </xf>
    <xf numFmtId="165" fontId="9" fillId="9" borderId="1" xfId="0" applyFont="true" applyBorder="true" applyAlignment="true" applyProtection="true">
      <alignment horizontal="right" vertical="bottom" textRotation="0" wrapText="false" indent="0" shrinkToFit="false"/>
      <protection locked="true" hidden="false"/>
    </xf>
    <xf numFmtId="165" fontId="9" fillId="4" borderId="1" xfId="0" applyFont="true" applyBorder="true" applyAlignment="true" applyProtection="true">
      <alignment horizontal="right" vertical="bottom" textRotation="0" wrapText="false" indent="0" shrinkToFit="false"/>
      <protection locked="true" hidden="false"/>
    </xf>
    <xf numFmtId="165" fontId="9" fillId="6" borderId="1" xfId="0" applyFont="true" applyBorder="true" applyAlignment="true" applyProtection="true">
      <alignment horizontal="right" vertical="bottom" textRotation="0" wrapText="false" indent="0" shrinkToFit="false"/>
      <protection locked="true" hidden="false"/>
    </xf>
    <xf numFmtId="164" fontId="9" fillId="0" borderId="0" xfId="0" applyFont="true" applyBorder="false" applyAlignment="true" applyProtection="true">
      <alignment horizontal="right" vertical="bottom" textRotation="0" wrapText="false" indent="0" shrinkToFit="false"/>
      <protection locked="true" hidden="false"/>
    </xf>
    <xf numFmtId="165" fontId="8" fillId="12"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6D"/>
      <rgbColor rgb="FFFF00FF"/>
      <rgbColor rgb="FF00FFFF"/>
      <rgbColor rgb="FF800000"/>
      <rgbColor rgb="FF008000"/>
      <rgbColor rgb="FF000080"/>
      <rgbColor rgb="FF808000"/>
      <rgbColor rgb="FF800080"/>
      <rgbColor rgb="FF008080"/>
      <rgbColor rgb="FFB4C7DC"/>
      <rgbColor rgb="FF808080"/>
      <rgbColor rgb="FF9999FF"/>
      <rgbColor rgb="FF993366"/>
      <rgbColor rgb="FFF8FAFC"/>
      <rgbColor rgb="FFF1F5F9"/>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CCFFFF"/>
      <rgbColor rgb="FFCCFFCC"/>
      <rgbColor rgb="FFFFFFA6"/>
      <rgbColor rgb="FF99CCFF"/>
      <rgbColor rgb="FFFFB66C"/>
      <rgbColor rgb="FFCC99FF"/>
      <rgbColor rgb="FFFFE994"/>
      <rgbColor rgb="FF3366FF"/>
      <rgbColor rgb="FF33CCCC"/>
      <rgbColor rgb="FF99CC00"/>
      <rgbColor rgb="FFFFCC00"/>
      <rgbColor rgb="FFFF9900"/>
      <rgbColor rgb="FFFF6600"/>
      <rgbColor rgb="FF64748B"/>
      <rgbColor rgb="FF969696"/>
      <rgbColor rgb="FF003366"/>
      <rgbColor rgb="FF339966"/>
      <rgbColor rgb="FF0F172A"/>
      <rgbColor rgb="FF333300"/>
      <rgbColor rgb="FF993300"/>
      <rgbColor rgb="FF993366"/>
      <rgbColor rgb="FF1E3A8A"/>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8.6796875" defaultRowHeight="15" customHeight="false" zeroHeight="false" outlineLevelRow="0" outlineLevelCol="0"/>
  <cols>
    <col collapsed="false" customWidth="true" hidden="false" outlineLevel="0" max="1" min="1" style="1" width="4"/>
    <col collapsed="false" customWidth="true" hidden="false" outlineLevel="0" max="3" min="2" style="1" width="18"/>
    <col collapsed="false" customWidth="true" hidden="false" outlineLevel="0" max="4" min="4" style="1" width="6"/>
    <col collapsed="false" customWidth="true" hidden="false" outlineLevel="0" max="6" min="5" style="1" width="18"/>
  </cols>
  <sheetData>
    <row r="1" customFormat="false" ht="34.5" hidden="false" customHeight="true" outlineLevel="0" collapsed="false">
      <c r="A1" s="2" t="s">
        <v>0</v>
      </c>
      <c r="B1" s="2"/>
      <c r="C1" s="2"/>
      <c r="D1" s="2"/>
      <c r="E1" s="2"/>
      <c r="F1" s="2"/>
      <c r="G1" s="2"/>
    </row>
    <row r="3" customFormat="false" ht="18" hidden="false" customHeight="true" outlineLevel="0" collapsed="false">
      <c r="B3" s="3" t="s">
        <v>1</v>
      </c>
      <c r="C3" s="3"/>
      <c r="E3" s="3" t="s">
        <v>2</v>
      </c>
      <c r="F3" s="3"/>
    </row>
    <row r="4" customFormat="false" ht="27.75" hidden="false" customHeight="true" outlineLevel="0" collapsed="false">
      <c r="B4" s="4" t="n">
        <f aca="false">SUM('Histórico de Arbitrajes'!S4:S100)</f>
        <v>48.23</v>
      </c>
      <c r="C4" s="4"/>
      <c r="E4" s="4" t="n">
        <f aca="false">SUM('Histórico de Arbitrajes'!V4:V100)</f>
        <v>1.8338</v>
      </c>
      <c r="F4" s="4"/>
    </row>
    <row r="6" customFormat="false" ht="18" hidden="false" customHeight="true" outlineLevel="0" collapsed="false">
      <c r="B6" s="3" t="s">
        <v>3</v>
      </c>
      <c r="C6" s="3"/>
      <c r="E6" s="3" t="s">
        <v>4</v>
      </c>
      <c r="F6" s="3"/>
    </row>
    <row r="7" customFormat="false" ht="27.75" hidden="false" customHeight="true" outlineLevel="0" collapsed="false">
      <c r="B7" s="5" t="n">
        <f aca="false">(E4/B4)</f>
        <v>0.0380219780219781</v>
      </c>
      <c r="C7" s="5"/>
      <c r="E7" s="6" t="n">
        <f aca="false">COUNTA('Histórico de Arbitrajes'!A4:A100)</f>
        <v>4</v>
      </c>
      <c r="F7" s="6"/>
    </row>
    <row r="10" customFormat="false" ht="15" hidden="false" customHeight="true" outlineLevel="0" collapsed="false">
      <c r="B10" s="7" t="s">
        <v>5</v>
      </c>
      <c r="C10" s="7"/>
      <c r="D10" s="7"/>
      <c r="E10" s="7"/>
      <c r="F10" s="7"/>
    </row>
    <row r="11" customFormat="false" ht="15" hidden="false" customHeight="false" outlineLevel="0" collapsed="false">
      <c r="B11" s="7"/>
      <c r="C11" s="7"/>
      <c r="D11" s="7"/>
      <c r="E11" s="7"/>
      <c r="F11" s="7"/>
    </row>
    <row r="12" customFormat="false" ht="15" hidden="false" customHeight="false" outlineLevel="0" collapsed="false">
      <c r="B12" s="7"/>
      <c r="C12" s="7"/>
      <c r="D12" s="7"/>
      <c r="E12" s="7"/>
      <c r="F12" s="7"/>
    </row>
    <row r="13" customFormat="false" ht="15" hidden="false" customHeight="false" outlineLevel="0" collapsed="false">
      <c r="B13" s="7"/>
      <c r="C13" s="7"/>
      <c r="D13" s="7"/>
      <c r="E13" s="7"/>
      <c r="F13" s="7"/>
    </row>
    <row r="14" customFormat="false" ht="15" hidden="false" customHeight="false" outlineLevel="0" collapsed="false">
      <c r="B14" s="7"/>
      <c r="C14" s="7"/>
      <c r="D14" s="7"/>
      <c r="E14" s="7"/>
      <c r="F14" s="7"/>
    </row>
    <row r="15" customFormat="false" ht="15" hidden="false" customHeight="false" outlineLevel="0" collapsed="false">
      <c r="B15" s="7"/>
      <c r="C15" s="7"/>
      <c r="D15" s="7"/>
      <c r="E15" s="7"/>
      <c r="F15" s="7"/>
    </row>
  </sheetData>
  <mergeCells count="10">
    <mergeCell ref="A1:G1"/>
    <mergeCell ref="B3:C3"/>
    <mergeCell ref="E3:F3"/>
    <mergeCell ref="B4:C4"/>
    <mergeCell ref="E4:F4"/>
    <mergeCell ref="B6:C6"/>
    <mergeCell ref="E6:F6"/>
    <mergeCell ref="B7:C7"/>
    <mergeCell ref="E7:F7"/>
    <mergeCell ref="B10:F1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8" activeCellId="0" sqref="B8"/>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19"/>
    <col collapsed="false" customWidth="true" hidden="false" outlineLevel="0" max="3" min="3" style="1" width="7"/>
    <col collapsed="false" customWidth="true" hidden="false" outlineLevel="0" max="4" min="4" style="1" width="16.74"/>
    <col collapsed="false" customWidth="true" hidden="false" outlineLevel="0" max="5" min="5" style="1" width="27.82"/>
    <col collapsed="false" customWidth="true" hidden="false" outlineLevel="0" max="6" min="6" style="1" width="31.34"/>
    <col collapsed="false" customWidth="true" hidden="false" outlineLevel="0" max="7" min="7" style="1" width="12"/>
    <col collapsed="false" customWidth="true" hidden="false" outlineLevel="0" max="8" min="8" style="1" width="23.23"/>
    <col collapsed="false" customWidth="true" hidden="false" outlineLevel="0" max="9" min="9" style="1" width="6.39"/>
    <col collapsed="false" customWidth="true" hidden="false" outlineLevel="0" max="10" min="10" style="1" width="14"/>
    <col collapsed="false" customWidth="true" hidden="false" outlineLevel="0" max="11" min="11" style="1" width="12"/>
    <col collapsed="false" customWidth="true" hidden="false" outlineLevel="0" max="12" min="12" style="1" width="25"/>
    <col collapsed="false" customWidth="true" hidden="false" outlineLevel="0" max="13" min="13" style="1" width="6.12"/>
    <col collapsed="false" customWidth="true" hidden="false" outlineLevel="0" max="14" min="14" style="1" width="11.39"/>
    <col collapsed="false" customWidth="true" hidden="false" outlineLevel="0" max="15" min="15" style="1" width="11.53"/>
    <col collapsed="false" customWidth="true" hidden="false" outlineLevel="0" max="16" min="16" style="1" width="6.02"/>
    <col collapsed="false" customWidth="true" hidden="false" outlineLevel="0" max="17" min="17" style="8" width="6.25"/>
    <col collapsed="false" customWidth="true" hidden="false" outlineLevel="0" max="18" min="18" style="1" width="11.53"/>
    <col collapsed="false" customWidth="true" hidden="false" outlineLevel="0" max="20" min="19" style="1" width="9.6"/>
    <col collapsed="false" customWidth="true" hidden="false" outlineLevel="0" max="21" min="21" style="1" width="14.06"/>
    <col collapsed="false" customWidth="true" hidden="false" outlineLevel="0" max="22" min="22" style="1" width="11.39"/>
    <col collapsed="false" customWidth="true" hidden="false" outlineLevel="0" max="23" min="23" style="1" width="14"/>
    <col collapsed="false" customWidth="true" hidden="false" outlineLevel="0" max="24" min="24" style="1" width="25"/>
  </cols>
  <sheetData>
    <row r="1" customFormat="false" ht="34.5" hidden="false" customHeight="true" outlineLevel="0" collapsed="false">
      <c r="A1" s="2" t="s">
        <v>6</v>
      </c>
      <c r="B1" s="2"/>
      <c r="C1" s="2"/>
      <c r="D1" s="2"/>
      <c r="E1" s="2"/>
      <c r="F1" s="2"/>
      <c r="G1" s="2"/>
      <c r="H1" s="2"/>
      <c r="I1" s="2"/>
      <c r="J1" s="2"/>
      <c r="K1" s="2"/>
      <c r="L1" s="2"/>
      <c r="M1" s="2"/>
      <c r="N1" s="2"/>
      <c r="O1" s="2"/>
      <c r="P1" s="2"/>
      <c r="Q1" s="2"/>
      <c r="R1" s="2"/>
      <c r="S1" s="2"/>
      <c r="T1" s="2"/>
      <c r="U1" s="2"/>
      <c r="V1" s="2"/>
      <c r="W1" s="2"/>
      <c r="X1" s="2"/>
    </row>
    <row r="3" customFormat="false" ht="25.5" hidden="false" customHeight="true" outlineLevel="0" collapsed="false">
      <c r="A3" s="9" t="s">
        <v>7</v>
      </c>
      <c r="B3" s="9" t="s">
        <v>8</v>
      </c>
      <c r="C3" s="9" t="s">
        <v>9</v>
      </c>
      <c r="D3" s="9" t="s">
        <v>10</v>
      </c>
      <c r="E3" s="9" t="s">
        <v>11</v>
      </c>
      <c r="F3" s="9" t="s">
        <v>12</v>
      </c>
      <c r="G3" s="9" t="s">
        <v>13</v>
      </c>
      <c r="H3" s="9" t="s">
        <v>14</v>
      </c>
      <c r="I3" s="9" t="s">
        <v>15</v>
      </c>
      <c r="J3" s="9" t="s">
        <v>16</v>
      </c>
      <c r="K3" s="9" t="s">
        <v>17</v>
      </c>
      <c r="L3" s="9" t="s">
        <v>18</v>
      </c>
      <c r="M3" s="9" t="s">
        <v>19</v>
      </c>
      <c r="N3" s="9" t="s">
        <v>20</v>
      </c>
      <c r="O3" s="9" t="s">
        <v>21</v>
      </c>
      <c r="P3" s="9" t="s">
        <v>22</v>
      </c>
      <c r="Q3" s="10" t="s">
        <v>23</v>
      </c>
      <c r="R3" s="9" t="s">
        <v>24</v>
      </c>
      <c r="S3" s="9" t="s">
        <v>25</v>
      </c>
      <c r="T3" s="9" t="s">
        <v>26</v>
      </c>
      <c r="U3" s="9" t="s">
        <v>27</v>
      </c>
      <c r="V3" s="9" t="s">
        <v>28</v>
      </c>
      <c r="W3" s="9" t="s">
        <v>29</v>
      </c>
      <c r="X3" s="9" t="s">
        <v>30</v>
      </c>
    </row>
    <row r="4" customFormat="false" ht="19.5" hidden="false" customHeight="true" outlineLevel="0" collapsed="false">
      <c r="A4" s="11" t="n">
        <v>1</v>
      </c>
      <c r="B4" s="12" t="n">
        <v>46250.0625</v>
      </c>
      <c r="C4" s="13" t="s">
        <v>31</v>
      </c>
      <c r="D4" s="13" t="s">
        <v>32</v>
      </c>
      <c r="E4" s="14" t="s">
        <v>33</v>
      </c>
      <c r="F4" s="13" t="s">
        <v>34</v>
      </c>
      <c r="G4" s="15" t="s">
        <v>35</v>
      </c>
      <c r="H4" s="16" t="s">
        <v>36</v>
      </c>
      <c r="I4" s="17" t="n">
        <v>4.73</v>
      </c>
      <c r="J4" s="18" t="n">
        <v>2.2</v>
      </c>
      <c r="K4" s="19" t="s">
        <v>37</v>
      </c>
      <c r="L4" s="20" t="s">
        <v>38</v>
      </c>
      <c r="M4" s="21" t="n">
        <v>1.81</v>
      </c>
      <c r="N4" s="22" t="n">
        <v>5.6</v>
      </c>
      <c r="O4" s="23" t="s">
        <v>39</v>
      </c>
      <c r="P4" s="23" t="s">
        <v>40</v>
      </c>
      <c r="Q4" s="24" t="n">
        <v>4.43</v>
      </c>
      <c r="R4" s="23" t="n">
        <v>2.3</v>
      </c>
      <c r="S4" s="25" t="n">
        <f aca="false">J4+N4+R4</f>
        <v>10.1</v>
      </c>
      <c r="T4" s="26" t="n">
        <f aca="false">(1-((1/I4)+(1/M4)+(1/Q4)))*100</f>
        <v>1.03636873569257</v>
      </c>
      <c r="U4" s="25" t="n">
        <f aca="false">J4*I4</f>
        <v>10.406</v>
      </c>
      <c r="V4" s="27" t="n">
        <f aca="false">U4-S4</f>
        <v>0.306000000000003</v>
      </c>
      <c r="W4" s="11" t="s">
        <v>41</v>
      </c>
      <c r="X4" s="13" t="s">
        <v>42</v>
      </c>
    </row>
    <row r="5" customFormat="false" ht="19.5" hidden="false" customHeight="true" outlineLevel="0" collapsed="false">
      <c r="A5" s="28" t="n">
        <v>2</v>
      </c>
      <c r="B5" s="12" t="n">
        <v>46256.4583333333</v>
      </c>
      <c r="C5" s="29" t="s">
        <v>31</v>
      </c>
      <c r="D5" s="30" t="s">
        <v>43</v>
      </c>
      <c r="E5" s="29" t="s">
        <v>44</v>
      </c>
      <c r="F5" s="29" t="s">
        <v>34</v>
      </c>
      <c r="G5" s="19" t="s">
        <v>37</v>
      </c>
      <c r="H5" s="20" t="s">
        <v>45</v>
      </c>
      <c r="I5" s="21" t="n">
        <v>2.1</v>
      </c>
      <c r="J5" s="22" t="n">
        <v>4.93</v>
      </c>
      <c r="K5" s="31" t="s">
        <v>39</v>
      </c>
      <c r="L5" s="32" t="s">
        <v>46</v>
      </c>
      <c r="M5" s="33" t="n">
        <v>4.6</v>
      </c>
      <c r="N5" s="23" t="n">
        <v>2.2</v>
      </c>
      <c r="O5" s="23" t="s">
        <v>39</v>
      </c>
      <c r="P5" s="23" t="s">
        <v>40</v>
      </c>
      <c r="Q5" s="24" t="n">
        <v>3.68</v>
      </c>
      <c r="R5" s="23" t="n">
        <v>2.82</v>
      </c>
      <c r="S5" s="25" t="n">
        <f aca="false">J5+N5+R5</f>
        <v>9.95</v>
      </c>
      <c r="T5" s="26" t="n">
        <f aca="false">(1-((1/I5)+(1/M5)+(1/Q5)))*100</f>
        <v>3.46790890269152</v>
      </c>
      <c r="U5" s="34" t="n">
        <f aca="false">J5*I5</f>
        <v>10.353</v>
      </c>
      <c r="V5" s="35" t="n">
        <f aca="false">U5-S5</f>
        <v>0.403</v>
      </c>
      <c r="W5" s="28" t="s">
        <v>47</v>
      </c>
      <c r="X5" s="29" t="s">
        <v>48</v>
      </c>
    </row>
    <row r="6" customFormat="false" ht="19.5" hidden="false" customHeight="true" outlineLevel="0" collapsed="false">
      <c r="A6" s="11" t="n">
        <v>3</v>
      </c>
      <c r="B6" s="12" t="n">
        <v>46249.8541666667</v>
      </c>
      <c r="C6" s="13" t="s">
        <v>31</v>
      </c>
      <c r="D6" s="13" t="s">
        <v>32</v>
      </c>
      <c r="E6" s="13" t="s">
        <v>49</v>
      </c>
      <c r="F6" s="13" t="s">
        <v>34</v>
      </c>
      <c r="G6" s="19" t="s">
        <v>37</v>
      </c>
      <c r="H6" s="20" t="s">
        <v>50</v>
      </c>
      <c r="I6" s="21" t="n">
        <v>2.26</v>
      </c>
      <c r="J6" s="22" t="n">
        <v>4.48</v>
      </c>
      <c r="K6" s="19" t="s">
        <v>37</v>
      </c>
      <c r="L6" s="20" t="s">
        <v>51</v>
      </c>
      <c r="M6" s="21" t="n">
        <v>3.35</v>
      </c>
      <c r="N6" s="22" t="n">
        <v>2.2</v>
      </c>
      <c r="O6" s="23" t="s">
        <v>39</v>
      </c>
      <c r="P6" s="23" t="s">
        <v>40</v>
      </c>
      <c r="Q6" s="24" t="n">
        <v>4.05</v>
      </c>
      <c r="R6" s="23" t="n">
        <v>2.5</v>
      </c>
      <c r="S6" s="25" t="n">
        <f aca="false">J6+N6+R6</f>
        <v>9.18</v>
      </c>
      <c r="T6" s="26" t="n">
        <f aca="false">(1-((1/I6)+(1/M6)+(1/Q6)))*100</f>
        <v>1.21010809603246</v>
      </c>
      <c r="U6" s="25" t="n">
        <f aca="false">J6*I6</f>
        <v>10.1248</v>
      </c>
      <c r="V6" s="27" t="n">
        <f aca="false">U6-S6</f>
        <v>0.944800000000001</v>
      </c>
      <c r="W6" s="11" t="s">
        <v>41</v>
      </c>
      <c r="X6" s="13" t="s">
        <v>42</v>
      </c>
    </row>
    <row r="7" customFormat="false" ht="19.5" hidden="false" customHeight="true" outlineLevel="0" collapsed="false">
      <c r="A7" s="28" t="n">
        <v>4</v>
      </c>
      <c r="B7" s="12" t="n">
        <v>46256.6875</v>
      </c>
      <c r="C7" s="29" t="s">
        <v>31</v>
      </c>
      <c r="D7" s="29" t="s">
        <v>52</v>
      </c>
      <c r="E7" s="29" t="s">
        <v>53</v>
      </c>
      <c r="F7" s="29" t="s">
        <v>34</v>
      </c>
      <c r="G7" s="19" t="s">
        <v>37</v>
      </c>
      <c r="H7" s="20" t="s">
        <v>54</v>
      </c>
      <c r="I7" s="21" t="n">
        <v>7</v>
      </c>
      <c r="J7" s="22" t="n">
        <v>2.74</v>
      </c>
      <c r="K7" s="31" t="s">
        <v>39</v>
      </c>
      <c r="L7" s="32" t="s">
        <v>55</v>
      </c>
      <c r="M7" s="33" t="n">
        <v>1.6</v>
      </c>
      <c r="N7" s="23" t="n">
        <v>11.97</v>
      </c>
      <c r="O7" s="23" t="s">
        <v>39</v>
      </c>
      <c r="P7" s="23" t="s">
        <v>40</v>
      </c>
      <c r="Q7" s="24" t="n">
        <v>4.46</v>
      </c>
      <c r="R7" s="23" t="n">
        <v>4.29</v>
      </c>
      <c r="S7" s="25" t="n">
        <f aca="false">J7+N7+R7</f>
        <v>19</v>
      </c>
      <c r="T7" s="26" t="n">
        <f aca="false">(1-((1/I7)+(1/M7)+(1/Q7)))*100</f>
        <v>0.792761050608593</v>
      </c>
      <c r="U7" s="34" t="n">
        <f aca="false">J7*I7</f>
        <v>19.18</v>
      </c>
      <c r="V7" s="35" t="n">
        <f aca="false">U7-S7</f>
        <v>0.18</v>
      </c>
      <c r="W7" s="28" t="s">
        <v>47</v>
      </c>
      <c r="X7" s="29" t="s">
        <v>48</v>
      </c>
    </row>
    <row r="8" customFormat="false" ht="19.5" hidden="false" customHeight="true" outlineLevel="0" collapsed="false">
      <c r="A8" s="11"/>
      <c r="B8" s="12"/>
      <c r="C8" s="13" t="s">
        <v>31</v>
      </c>
      <c r="D8" s="13"/>
      <c r="E8" s="13" t="s">
        <v>56</v>
      </c>
      <c r="F8" s="13" t="s">
        <v>57</v>
      </c>
      <c r="G8" s="11" t="s">
        <v>37</v>
      </c>
      <c r="H8" s="13" t="s">
        <v>58</v>
      </c>
      <c r="I8" s="36" t="n">
        <v>2.1</v>
      </c>
      <c r="J8" s="25" t="n">
        <v>0</v>
      </c>
      <c r="K8" s="11" t="s">
        <v>35</v>
      </c>
      <c r="L8" s="13" t="s">
        <v>59</v>
      </c>
      <c r="M8" s="36" t="n">
        <v>2.02</v>
      </c>
      <c r="N8" s="25" t="n">
        <v>0</v>
      </c>
      <c r="O8" s="25"/>
      <c r="P8" s="25"/>
      <c r="Q8" s="37"/>
      <c r="R8" s="25"/>
      <c r="S8" s="25" t="n">
        <f aca="false">J8+N8</f>
        <v>0</v>
      </c>
      <c r="T8" s="26" t="n">
        <f aca="false">(1-((1/I8)+(1/M8)))*100</f>
        <v>2.87600188590288</v>
      </c>
      <c r="U8" s="25" t="n">
        <f aca="false">J8*I8</f>
        <v>0</v>
      </c>
      <c r="V8" s="27" t="n">
        <f aca="false">U8-S8</f>
        <v>0</v>
      </c>
      <c r="W8" s="11"/>
      <c r="X8" s="13" t="s">
        <v>60</v>
      </c>
    </row>
  </sheetData>
  <mergeCells count="1">
    <mergeCell ref="A1:X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6796875" defaultRowHeight="15" customHeight="false" zeroHeight="false" outlineLevelRow="0" outlineLevelCol="0"/>
  <cols>
    <col collapsed="false" customWidth="true" hidden="false" outlineLevel="0" max="1" min="1" style="1" width="47"/>
    <col collapsed="false" customWidth="true" hidden="false" outlineLevel="0" max="2" min="2" style="1" width="21"/>
    <col collapsed="false" customWidth="true" hidden="false" outlineLevel="0" max="3" min="3" style="1" width="16"/>
    <col collapsed="false" customWidth="true" hidden="false" outlineLevel="0" max="4" min="4" style="1" width="20"/>
    <col collapsed="false" customWidth="true" hidden="false" outlineLevel="0" max="5" min="5" style="1" width="21"/>
  </cols>
  <sheetData>
    <row r="1" customFormat="false" ht="34.5" hidden="false" customHeight="true" outlineLevel="0" collapsed="false">
      <c r="A1" s="2" t="s">
        <v>61</v>
      </c>
      <c r="B1" s="2"/>
      <c r="C1" s="2"/>
      <c r="D1" s="2"/>
      <c r="E1" s="2"/>
    </row>
    <row r="3" customFormat="false" ht="24" hidden="false" customHeight="true" outlineLevel="0" collapsed="false">
      <c r="A3" s="38" t="s">
        <v>62</v>
      </c>
      <c r="B3" s="38" t="s">
        <v>63</v>
      </c>
      <c r="C3" s="38" t="s">
        <v>64</v>
      </c>
      <c r="D3" s="38" t="s">
        <v>65</v>
      </c>
      <c r="E3" s="38" t="s">
        <v>66</v>
      </c>
    </row>
    <row r="4" customFormat="false" ht="19.5" hidden="false" customHeight="true" outlineLevel="0" collapsed="false">
      <c r="A4" s="20" t="s">
        <v>37</v>
      </c>
      <c r="B4" s="39" t="s">
        <v>67</v>
      </c>
      <c r="C4" s="39" t="s">
        <v>68</v>
      </c>
      <c r="D4" s="40" t="n">
        <v>0.05</v>
      </c>
      <c r="E4" s="41" t="s">
        <v>69</v>
      </c>
    </row>
    <row r="5" customFormat="false" ht="19.5" hidden="false" customHeight="true" outlineLevel="0" collapsed="false">
      <c r="A5" s="42" t="s">
        <v>35</v>
      </c>
      <c r="B5" s="43" t="s">
        <v>70</v>
      </c>
      <c r="C5" s="43" t="s">
        <v>68</v>
      </c>
      <c r="D5" s="44" t="n">
        <v>12.8</v>
      </c>
      <c r="E5" s="42" t="s">
        <v>69</v>
      </c>
    </row>
    <row r="6" customFormat="false" ht="19.5" hidden="false" customHeight="true" outlineLevel="0" collapsed="false">
      <c r="A6" s="32" t="s">
        <v>39</v>
      </c>
      <c r="B6" s="31" t="s">
        <v>70</v>
      </c>
      <c r="C6" s="31" t="s">
        <v>68</v>
      </c>
      <c r="D6" s="45" t="n">
        <v>4.24</v>
      </c>
      <c r="E6" s="32" t="s">
        <v>71</v>
      </c>
    </row>
    <row r="7" customFormat="false" ht="19.5" hidden="false" customHeight="true" outlineLevel="0" collapsed="false">
      <c r="A7" s="29" t="s">
        <v>72</v>
      </c>
      <c r="B7" s="28" t="s">
        <v>73</v>
      </c>
      <c r="C7" s="28" t="s">
        <v>68</v>
      </c>
      <c r="D7" s="46" t="n">
        <v>0</v>
      </c>
      <c r="E7" s="29" t="s">
        <v>74</v>
      </c>
    </row>
    <row r="8" customFormat="false" ht="19.5" hidden="false" customHeight="true" outlineLevel="0" collapsed="false">
      <c r="A8" s="13" t="s">
        <v>75</v>
      </c>
      <c r="B8" s="11" t="s">
        <v>73</v>
      </c>
      <c r="C8" s="11" t="s">
        <v>68</v>
      </c>
      <c r="D8" s="47" t="n">
        <v>0</v>
      </c>
      <c r="E8" s="13" t="s">
        <v>74</v>
      </c>
    </row>
    <row r="9" customFormat="false" ht="19.5" hidden="false" customHeight="true" outlineLevel="0" collapsed="false">
      <c r="A9" s="29" t="s">
        <v>76</v>
      </c>
      <c r="B9" s="28" t="s">
        <v>77</v>
      </c>
      <c r="C9" s="28" t="s">
        <v>68</v>
      </c>
      <c r="D9" s="46" t="n">
        <v>1</v>
      </c>
      <c r="E9" s="29" t="s">
        <v>78</v>
      </c>
    </row>
    <row r="10" customFormat="false" ht="24" hidden="false" customHeight="true" outlineLevel="0" collapsed="false">
      <c r="C10" s="48" t="s">
        <v>79</v>
      </c>
      <c r="D10" s="49" t="n">
        <f aca="false">SUM(D4:D9)</f>
        <v>18.09</v>
      </c>
    </row>
  </sheetData>
  <mergeCells count="1">
    <mergeCell ref="A1:E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144</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2026-08-15T13:40:27Z</dcterms:created>
  <dc:creator>openpyxl</dc:creator>
  <dc:description/>
  <dc:language>es-MX</dc:language>
  <cp:lastModifiedBy/>
  <dcterms:modified xsi:type="dcterms:W3CDTF">2026-08-16T15:39:13Z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